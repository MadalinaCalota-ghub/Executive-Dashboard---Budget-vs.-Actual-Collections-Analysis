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lina.calota\Desktop\cdr\altele\cursuri\Practica\proiecte_GitHub\HTML -- Dashboard\"/>
    </mc:Choice>
  </mc:AlternateContent>
  <xr:revisionPtr revIDLastSave="0" documentId="13_ncr:1_{52551F5F-7D70-4A3D-8771-0350538CD4A1}" xr6:coauthVersionLast="47" xr6:coauthVersionMax="47" xr10:uidLastSave="{00000000-0000-0000-0000-000000000000}"/>
  <bookViews>
    <workbookView xWindow="-120" yWindow="-120" windowWidth="29040" windowHeight="17520" xr2:uid="{8CE335BA-20B0-40A7-9D2E-D07C7C54A582}"/>
  </bookViews>
  <sheets>
    <sheet name="Sheet1" sheetId="1" r:id="rId1"/>
  </sheets>
  <definedNames>
    <definedName name="_xlnm._FilterDatabase" localSheetId="0" hidden="1">Sheet1!$A$1:$G$57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5" i="1" l="1"/>
  <c r="G55" i="1"/>
  <c r="F56" i="1"/>
  <c r="G56" i="1"/>
  <c r="F57" i="1"/>
  <c r="G57" i="1"/>
  <c r="F52" i="1"/>
  <c r="G52" i="1"/>
  <c r="F53" i="1"/>
  <c r="G53" i="1"/>
  <c r="F54" i="1"/>
  <c r="G54" i="1"/>
  <c r="F51" i="1"/>
  <c r="G51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G6" i="1"/>
  <c r="F6" i="1"/>
  <c r="G5" i="1"/>
  <c r="F5" i="1"/>
  <c r="F4" i="1"/>
  <c r="F3" i="1"/>
  <c r="F2" i="1"/>
  <c r="G4" i="1"/>
  <c r="G3" i="1"/>
  <c r="G2" i="1"/>
</calcChain>
</file>

<file path=xl/sharedStrings.xml><?xml version="1.0" encoding="utf-8"?>
<sst xmlns="http://schemas.openxmlformats.org/spreadsheetml/2006/main" count="175" uniqueCount="95">
  <si>
    <t>Judet</t>
  </si>
  <si>
    <t>Inspector</t>
  </si>
  <si>
    <t>Regiune</t>
  </si>
  <si>
    <t>Realizat acumulat 30 sept 2026</t>
  </si>
  <si>
    <t>Buget acc la 30 sept</t>
  </si>
  <si>
    <t>Dif (lei)</t>
  </si>
  <si>
    <t>% realizat vs buget</t>
  </si>
  <si>
    <t>SV</t>
  </si>
  <si>
    <t>Nord</t>
  </si>
  <si>
    <t>BT</t>
  </si>
  <si>
    <t>IS</t>
  </si>
  <si>
    <t>VS</t>
  </si>
  <si>
    <t>PH</t>
  </si>
  <si>
    <t>BZ</t>
  </si>
  <si>
    <t>BC</t>
  </si>
  <si>
    <t>NT</t>
  </si>
  <si>
    <t>BV</t>
  </si>
  <si>
    <t>CV</t>
  </si>
  <si>
    <t>GL</t>
  </si>
  <si>
    <t>BR</t>
  </si>
  <si>
    <t>TL</t>
  </si>
  <si>
    <t>VN</t>
  </si>
  <si>
    <t>SB</t>
  </si>
  <si>
    <t>MM</t>
  </si>
  <si>
    <t>SM</t>
  </si>
  <si>
    <t>CJ</t>
  </si>
  <si>
    <t>BH</t>
  </si>
  <si>
    <t>SJ</t>
  </si>
  <si>
    <t>MS</t>
  </si>
  <si>
    <t>HR</t>
  </si>
  <si>
    <t>BN</t>
  </si>
  <si>
    <t>HD</t>
  </si>
  <si>
    <t>Sud</t>
  </si>
  <si>
    <t>CS</t>
  </si>
  <si>
    <t>AB</t>
  </si>
  <si>
    <t>DJ</t>
  </si>
  <si>
    <t>GJ</t>
  </si>
  <si>
    <t>OT</t>
  </si>
  <si>
    <t>MH</t>
  </si>
  <si>
    <t>AR</t>
  </si>
  <si>
    <t>TM</t>
  </si>
  <si>
    <t>AG</t>
  </si>
  <si>
    <t>DB</t>
  </si>
  <si>
    <t>VL</t>
  </si>
  <si>
    <t>CT</t>
  </si>
  <si>
    <t>CT1</t>
  </si>
  <si>
    <t>CT2</t>
  </si>
  <si>
    <t>CT3</t>
  </si>
  <si>
    <t>S1</t>
  </si>
  <si>
    <t>S2</t>
  </si>
  <si>
    <t>S5</t>
  </si>
  <si>
    <t>S3</t>
  </si>
  <si>
    <t>IL</t>
  </si>
  <si>
    <t>CL</t>
  </si>
  <si>
    <t>S6</t>
  </si>
  <si>
    <t>S4</t>
  </si>
  <si>
    <t>TR</t>
  </si>
  <si>
    <t>GR</t>
  </si>
  <si>
    <t>KA</t>
  </si>
  <si>
    <t>Fara zona</t>
  </si>
  <si>
    <t>ADJPR</t>
  </si>
  <si>
    <t>BIO</t>
  </si>
  <si>
    <t>JUR</t>
  </si>
  <si>
    <t>Juridic</t>
  </si>
  <si>
    <t>LIT1</t>
  </si>
  <si>
    <t>LIT2</t>
  </si>
  <si>
    <t>LIT</t>
  </si>
  <si>
    <t>Litoral 1</t>
  </si>
  <si>
    <t>Litoral 2</t>
  </si>
  <si>
    <t>Litoral 3</t>
  </si>
  <si>
    <t>Maria Ion</t>
  </si>
  <si>
    <t>Cosmina Ilies</t>
  </si>
  <si>
    <t>Gabriel Bitas</t>
  </si>
  <si>
    <t>Florin Cosma</t>
  </si>
  <si>
    <t>Luana Enache</t>
  </si>
  <si>
    <t>Sidonia Pilas</t>
  </si>
  <si>
    <t>Catalina Paula</t>
  </si>
  <si>
    <t>Razvan Costi</t>
  </si>
  <si>
    <t>Valentina Costa</t>
  </si>
  <si>
    <t>Marius Cacsz</t>
  </si>
  <si>
    <t>Doriana Popa</t>
  </si>
  <si>
    <t>Magdalena Chias</t>
  </si>
  <si>
    <t>Miruna Pas</t>
  </si>
  <si>
    <t>Olivian Evata</t>
  </si>
  <si>
    <t>Violeta Vivis</t>
  </si>
  <si>
    <t>Theodor Ticu</t>
  </si>
  <si>
    <t>Anca Birs</t>
  </si>
  <si>
    <t>Alina Erds</t>
  </si>
  <si>
    <t>Costi Ficer</t>
  </si>
  <si>
    <t>Jean Dan</t>
  </si>
  <si>
    <t>Victor Paulas</t>
  </si>
  <si>
    <t>Dragos Forfot</t>
  </si>
  <si>
    <t>Andrei Pit</t>
  </si>
  <si>
    <t>Simona Picles</t>
  </si>
  <si>
    <t>Serban 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</si>
</sst>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  <xf numFmtId="43" fontId="4" fillId="0" borderId="0" xfId="1" applyFont="1"/>
    <xf numFmtId="164" fontId="4" fillId="0" borderId="0" xfId="1" applyNumberFormat="1" applyFont="1"/>
    <xf numFmtId="10" fontId="4" fillId="0" borderId="0" xfId="2" applyNumberFormat="1" applyFont="1"/>
    <xf numFmtId="10" fontId="5" fillId="0" borderId="0" xfId="2" applyNumberFormat="1" applyFont="1"/>
    <xf numFmtId="10" fontId="6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1F49-EE40-43F8-ACFC-4040E1CFBB17}">
  <dimension ref="A1:G73"/>
  <sheetViews>
    <sheetView tabSelected="1" workbookViewId="0">
      <pane ySplit="1" topLeftCell="A39" activePane="bottomLeft" state="frozen"/>
      <selection pane="bottomLeft" activeCell="D58" sqref="D58:E58"/>
    </sheetView>
  </sheetViews>
  <sheetFormatPr defaultRowHeight="15" x14ac:dyDescent="0.25"/>
  <cols>
    <col min="1" max="1" width="11.5703125" style="4" customWidth="1"/>
    <col min="2" max="2" width="19.28515625" customWidth="1"/>
    <col min="3" max="3" width="9.5703125" customWidth="1"/>
    <col min="4" max="4" width="16.28515625" customWidth="1"/>
    <col min="5" max="5" width="16" customWidth="1"/>
    <col min="6" max="6" width="11.140625" customWidth="1"/>
    <col min="7" max="7" width="16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t="s">
        <v>70</v>
      </c>
      <c r="C2" t="s">
        <v>8</v>
      </c>
      <c r="D2" s="3">
        <v>464513.42</v>
      </c>
      <c r="E2" s="3">
        <v>479600</v>
      </c>
      <c r="F2" s="3">
        <f t="shared" ref="F2:F33" si="0">D2-E2</f>
        <v>-15086.580000000016</v>
      </c>
      <c r="G2" s="8">
        <f t="shared" ref="G2:G33" si="1">D2/E2-1</f>
        <v>-3.1456588824020026E-2</v>
      </c>
    </row>
    <row r="3" spans="1:7" x14ac:dyDescent="0.25">
      <c r="A3" s="4" t="s">
        <v>9</v>
      </c>
      <c r="B3" t="s">
        <v>70</v>
      </c>
      <c r="C3" t="s">
        <v>8</v>
      </c>
      <c r="D3" s="3">
        <v>1086056.52</v>
      </c>
      <c r="E3" s="3">
        <v>1295800</v>
      </c>
      <c r="F3" s="3">
        <f t="shared" si="0"/>
        <v>-209743.47999999998</v>
      </c>
      <c r="G3" s="8">
        <f t="shared" si="1"/>
        <v>-0.16186408396357466</v>
      </c>
    </row>
    <row r="4" spans="1:7" x14ac:dyDescent="0.25">
      <c r="A4" s="4" t="s">
        <v>10</v>
      </c>
      <c r="B4" t="s">
        <v>71</v>
      </c>
      <c r="C4" t="s">
        <v>8</v>
      </c>
      <c r="D4" s="3">
        <v>1755697.9599999981</v>
      </c>
      <c r="E4" s="3">
        <v>1749600</v>
      </c>
      <c r="F4" s="3">
        <f t="shared" si="0"/>
        <v>6097.9599999981001</v>
      </c>
      <c r="G4" s="9">
        <f t="shared" si="1"/>
        <v>3.4853452217638026E-3</v>
      </c>
    </row>
    <row r="5" spans="1:7" x14ac:dyDescent="0.25">
      <c r="A5" s="4" t="s">
        <v>11</v>
      </c>
      <c r="B5" t="s">
        <v>71</v>
      </c>
      <c r="C5" t="s">
        <v>8</v>
      </c>
      <c r="D5" s="3">
        <v>687867.5</v>
      </c>
      <c r="E5" s="3">
        <v>868600</v>
      </c>
      <c r="F5" s="3">
        <f t="shared" si="0"/>
        <v>-180732.5</v>
      </c>
      <c r="G5" s="8">
        <f t="shared" si="1"/>
        <v>-0.20807333640340775</v>
      </c>
    </row>
    <row r="6" spans="1:7" x14ac:dyDescent="0.25">
      <c r="A6" s="4" t="s">
        <v>12</v>
      </c>
      <c r="B6" t="s">
        <v>73</v>
      </c>
      <c r="C6" t="s">
        <v>8</v>
      </c>
      <c r="D6" s="3">
        <v>1958971.2599999961</v>
      </c>
      <c r="E6" s="3">
        <v>1908400</v>
      </c>
      <c r="F6" s="3">
        <f t="shared" si="0"/>
        <v>50571.259999996051</v>
      </c>
      <c r="G6" s="9">
        <f t="shared" si="1"/>
        <v>2.6499297841121372E-2</v>
      </c>
    </row>
    <row r="7" spans="1:7" x14ac:dyDescent="0.25">
      <c r="A7" s="4" t="s">
        <v>13</v>
      </c>
      <c r="B7" t="s">
        <v>73</v>
      </c>
      <c r="C7" t="s">
        <v>8</v>
      </c>
      <c r="D7" s="3">
        <v>301293.03999999998</v>
      </c>
      <c r="E7" s="3">
        <v>321000</v>
      </c>
      <c r="F7" s="3">
        <f t="shared" si="0"/>
        <v>-19706.960000000021</v>
      </c>
      <c r="G7" s="8">
        <f t="shared" si="1"/>
        <v>-6.1392398753894128E-2</v>
      </c>
    </row>
    <row r="8" spans="1:7" x14ac:dyDescent="0.25">
      <c r="A8" s="4" t="s">
        <v>14</v>
      </c>
      <c r="B8" t="s">
        <v>75</v>
      </c>
      <c r="C8" t="s">
        <v>8</v>
      </c>
      <c r="D8" s="3">
        <v>895171.29999999935</v>
      </c>
      <c r="E8" s="3">
        <v>804200</v>
      </c>
      <c r="F8" s="3">
        <f t="shared" si="0"/>
        <v>90971.299999999348</v>
      </c>
      <c r="G8" s="9">
        <f t="shared" si="1"/>
        <v>0.11312024372046681</v>
      </c>
    </row>
    <row r="9" spans="1:7" x14ac:dyDescent="0.25">
      <c r="A9" s="4" t="s">
        <v>15</v>
      </c>
      <c r="B9" t="s">
        <v>75</v>
      </c>
      <c r="C9" t="s">
        <v>8</v>
      </c>
      <c r="D9" s="3">
        <v>532912.90000000014</v>
      </c>
      <c r="E9" s="3">
        <v>541200</v>
      </c>
      <c r="F9" s="3">
        <f t="shared" si="0"/>
        <v>-8287.0999999998603</v>
      </c>
      <c r="G9" s="8">
        <f t="shared" si="1"/>
        <v>-1.5312453806356041E-2</v>
      </c>
    </row>
    <row r="10" spans="1:7" x14ac:dyDescent="0.25">
      <c r="A10" s="4" t="s">
        <v>16</v>
      </c>
      <c r="B10" t="s">
        <v>77</v>
      </c>
      <c r="C10" t="s">
        <v>8</v>
      </c>
      <c r="D10" s="3">
        <v>1643860.0799999996</v>
      </c>
      <c r="E10" s="3">
        <v>1481600</v>
      </c>
      <c r="F10" s="3">
        <f t="shared" si="0"/>
        <v>162260.07999999961</v>
      </c>
      <c r="G10" s="9">
        <f t="shared" si="1"/>
        <v>0.1095167926565872</v>
      </c>
    </row>
    <row r="11" spans="1:7" x14ac:dyDescent="0.25">
      <c r="A11" s="4" t="s">
        <v>17</v>
      </c>
      <c r="B11" t="s">
        <v>78</v>
      </c>
      <c r="C11" t="s">
        <v>8</v>
      </c>
      <c r="D11" s="3">
        <v>253261.59999999998</v>
      </c>
      <c r="E11" s="3">
        <v>253800</v>
      </c>
      <c r="F11" s="3">
        <f t="shared" si="0"/>
        <v>-538.40000000002328</v>
      </c>
      <c r="G11" s="8">
        <f t="shared" si="1"/>
        <v>-2.121355397951219E-3</v>
      </c>
    </row>
    <row r="12" spans="1:7" x14ac:dyDescent="0.25">
      <c r="A12" s="4" t="s">
        <v>18</v>
      </c>
      <c r="B12" t="s">
        <v>79</v>
      </c>
      <c r="C12" t="s">
        <v>8</v>
      </c>
      <c r="D12" s="3">
        <v>1255619.5999999985</v>
      </c>
      <c r="E12" s="3">
        <v>1069000</v>
      </c>
      <c r="F12" s="3">
        <f t="shared" si="0"/>
        <v>186619.59999999846</v>
      </c>
      <c r="G12" s="9">
        <f t="shared" si="1"/>
        <v>0.17457399438727639</v>
      </c>
    </row>
    <row r="13" spans="1:7" x14ac:dyDescent="0.25">
      <c r="A13" s="4" t="s">
        <v>19</v>
      </c>
      <c r="B13" t="s">
        <v>80</v>
      </c>
      <c r="C13" t="s">
        <v>8</v>
      </c>
      <c r="D13" s="3">
        <v>476926.95999999985</v>
      </c>
      <c r="E13" s="3">
        <v>481200</v>
      </c>
      <c r="F13" s="3">
        <f t="shared" si="0"/>
        <v>-4273.0400000001537</v>
      </c>
      <c r="G13" s="8">
        <f t="shared" si="1"/>
        <v>-8.8799667497925228E-3</v>
      </c>
    </row>
    <row r="14" spans="1:7" x14ac:dyDescent="0.25">
      <c r="A14" s="4" t="s">
        <v>20</v>
      </c>
      <c r="B14" t="s">
        <v>81</v>
      </c>
      <c r="C14" t="s">
        <v>8</v>
      </c>
      <c r="D14" s="3">
        <v>481736.73999999941</v>
      </c>
      <c r="E14" s="3">
        <v>463200</v>
      </c>
      <c r="F14" s="3">
        <f t="shared" si="0"/>
        <v>18536.739999999409</v>
      </c>
      <c r="G14" s="9">
        <f t="shared" si="1"/>
        <v>4.0018868739204239E-2</v>
      </c>
    </row>
    <row r="15" spans="1:7" x14ac:dyDescent="0.25">
      <c r="A15" s="4" t="s">
        <v>21</v>
      </c>
      <c r="B15" t="s">
        <v>82</v>
      </c>
      <c r="C15" t="s">
        <v>8</v>
      </c>
      <c r="D15" s="3">
        <v>417261.13999999978</v>
      </c>
      <c r="E15" s="3">
        <v>448000</v>
      </c>
      <c r="F15" s="3">
        <f t="shared" si="0"/>
        <v>-30738.860000000219</v>
      </c>
      <c r="G15" s="8">
        <f t="shared" si="1"/>
        <v>-6.8613526785714751E-2</v>
      </c>
    </row>
    <row r="16" spans="1:7" x14ac:dyDescent="0.25">
      <c r="A16" s="4" t="s">
        <v>22</v>
      </c>
      <c r="B16" t="s">
        <v>83</v>
      </c>
      <c r="C16" t="s">
        <v>8</v>
      </c>
      <c r="D16" s="3">
        <v>1784814.4199999997</v>
      </c>
      <c r="E16" s="3">
        <v>1812400</v>
      </c>
      <c r="F16" s="3">
        <f t="shared" si="0"/>
        <v>-27585.580000000307</v>
      </c>
      <c r="G16" s="8">
        <f t="shared" si="1"/>
        <v>-1.5220470094901906E-2</v>
      </c>
    </row>
    <row r="17" spans="1:7" x14ac:dyDescent="0.25">
      <c r="A17" s="4" t="s">
        <v>23</v>
      </c>
      <c r="B17" t="s">
        <v>84</v>
      </c>
      <c r="C17" t="s">
        <v>8</v>
      </c>
      <c r="D17" s="3">
        <v>1115264.6799999969</v>
      </c>
      <c r="E17" s="3">
        <v>1184600</v>
      </c>
      <c r="F17" s="3">
        <f t="shared" si="0"/>
        <v>-69335.320000003092</v>
      </c>
      <c r="G17" s="8">
        <f t="shared" si="1"/>
        <v>-5.8530575721765232E-2</v>
      </c>
    </row>
    <row r="18" spans="1:7" x14ac:dyDescent="0.25">
      <c r="A18" s="4" t="s">
        <v>24</v>
      </c>
      <c r="B18" t="s">
        <v>84</v>
      </c>
      <c r="C18" t="s">
        <v>8</v>
      </c>
      <c r="D18" s="3">
        <v>581257.11999999965</v>
      </c>
      <c r="E18" s="3">
        <v>571000</v>
      </c>
      <c r="F18" s="3">
        <f t="shared" si="0"/>
        <v>10257.119999999646</v>
      </c>
      <c r="G18" s="9">
        <f t="shared" si="1"/>
        <v>1.7963432574430227E-2</v>
      </c>
    </row>
    <row r="19" spans="1:7" x14ac:dyDescent="0.25">
      <c r="A19" s="4" t="s">
        <v>25</v>
      </c>
      <c r="B19" t="s">
        <v>78</v>
      </c>
      <c r="C19" t="s">
        <v>8</v>
      </c>
      <c r="D19" s="3">
        <v>3775769.0800000117</v>
      </c>
      <c r="E19" s="3">
        <v>3551200</v>
      </c>
      <c r="F19" s="3">
        <f t="shared" si="0"/>
        <v>224569.08000001172</v>
      </c>
      <c r="G19" s="9">
        <f t="shared" si="1"/>
        <v>6.3237519711650148E-2</v>
      </c>
    </row>
    <row r="20" spans="1:7" x14ac:dyDescent="0.25">
      <c r="A20" s="4" t="s">
        <v>26</v>
      </c>
      <c r="B20" t="s">
        <v>72</v>
      </c>
      <c r="C20" t="s">
        <v>8</v>
      </c>
      <c r="D20" s="3">
        <v>2395754.7400000044</v>
      </c>
      <c r="E20" s="3">
        <v>2322000</v>
      </c>
      <c r="F20" s="3">
        <f t="shared" si="0"/>
        <v>73754.740000004414</v>
      </c>
      <c r="G20" s="9">
        <f t="shared" si="1"/>
        <v>3.1763453919037232E-2</v>
      </c>
    </row>
    <row r="21" spans="1:7" x14ac:dyDescent="0.25">
      <c r="A21" s="4" t="s">
        <v>27</v>
      </c>
      <c r="B21" t="s">
        <v>74</v>
      </c>
      <c r="C21" t="s">
        <v>8</v>
      </c>
      <c r="D21" s="3">
        <v>443277.65999999945</v>
      </c>
      <c r="E21" s="3">
        <v>383200</v>
      </c>
      <c r="F21" s="3">
        <f t="shared" si="0"/>
        <v>60077.659999999451</v>
      </c>
      <c r="G21" s="9">
        <f t="shared" si="1"/>
        <v>0.15677886221294224</v>
      </c>
    </row>
    <row r="22" spans="1:7" x14ac:dyDescent="0.25">
      <c r="A22" s="4" t="s">
        <v>28</v>
      </c>
      <c r="B22" t="s">
        <v>76</v>
      </c>
      <c r="C22" t="s">
        <v>8</v>
      </c>
      <c r="D22" s="3">
        <v>1262375.98</v>
      </c>
      <c r="E22" s="3">
        <v>1285000</v>
      </c>
      <c r="F22" s="3">
        <f t="shared" si="0"/>
        <v>-22624.020000000019</v>
      </c>
      <c r="G22" s="8">
        <f t="shared" si="1"/>
        <v>-1.7606241245136212E-2</v>
      </c>
    </row>
    <row r="23" spans="1:7" x14ac:dyDescent="0.25">
      <c r="A23" s="4" t="s">
        <v>29</v>
      </c>
      <c r="B23" t="s">
        <v>76</v>
      </c>
      <c r="C23" t="s">
        <v>8</v>
      </c>
      <c r="D23" s="3">
        <v>722067.57999999914</v>
      </c>
      <c r="E23" s="3">
        <v>692000</v>
      </c>
      <c r="F23" s="3">
        <f t="shared" si="0"/>
        <v>30067.579999999143</v>
      </c>
      <c r="G23" s="9">
        <f t="shared" si="1"/>
        <v>4.345026011560571E-2</v>
      </c>
    </row>
    <row r="24" spans="1:7" x14ac:dyDescent="0.25">
      <c r="A24" s="4" t="s">
        <v>30</v>
      </c>
      <c r="B24" t="s">
        <v>76</v>
      </c>
      <c r="C24" t="s">
        <v>8</v>
      </c>
      <c r="D24" s="3">
        <v>145359.87999999998</v>
      </c>
      <c r="E24" s="3">
        <v>156800</v>
      </c>
      <c r="F24" s="3">
        <f t="shared" si="0"/>
        <v>-11440.120000000024</v>
      </c>
      <c r="G24" s="8">
        <f t="shared" si="1"/>
        <v>-7.2959948979592015E-2</v>
      </c>
    </row>
    <row r="25" spans="1:7" x14ac:dyDescent="0.25">
      <c r="A25" s="4" t="s">
        <v>31</v>
      </c>
      <c r="B25" t="s">
        <v>80</v>
      </c>
      <c r="C25" t="s">
        <v>32</v>
      </c>
      <c r="D25" s="3">
        <v>938791.05999999866</v>
      </c>
      <c r="E25" s="3">
        <v>933800</v>
      </c>
      <c r="F25" s="3">
        <f t="shared" si="0"/>
        <v>4991.0599999986589</v>
      </c>
      <c r="G25" s="9">
        <f t="shared" si="1"/>
        <v>5.3448918397929202E-3</v>
      </c>
    </row>
    <row r="26" spans="1:7" x14ac:dyDescent="0.25">
      <c r="A26" s="4" t="s">
        <v>33</v>
      </c>
      <c r="B26" t="s">
        <v>80</v>
      </c>
      <c r="C26" t="s">
        <v>32</v>
      </c>
      <c r="D26" s="3">
        <v>379010.81999999966</v>
      </c>
      <c r="E26" s="3">
        <v>351000</v>
      </c>
      <c r="F26" s="3">
        <f t="shared" si="0"/>
        <v>28010.819999999658</v>
      </c>
      <c r="G26" s="9">
        <f t="shared" si="1"/>
        <v>7.980290598290507E-2</v>
      </c>
    </row>
    <row r="27" spans="1:7" x14ac:dyDescent="0.25">
      <c r="A27" s="4" t="s">
        <v>34</v>
      </c>
      <c r="B27" t="s">
        <v>80</v>
      </c>
      <c r="C27" t="s">
        <v>8</v>
      </c>
      <c r="D27" s="3">
        <v>720300.97999999928</v>
      </c>
      <c r="E27" s="3">
        <v>744200</v>
      </c>
      <c r="F27" s="3">
        <f t="shared" si="0"/>
        <v>-23899.020000000717</v>
      </c>
      <c r="G27" s="8">
        <f t="shared" si="1"/>
        <v>-3.2113705993013553E-2</v>
      </c>
    </row>
    <row r="28" spans="1:7" x14ac:dyDescent="0.25">
      <c r="A28" s="4" t="s">
        <v>35</v>
      </c>
      <c r="B28" t="s">
        <v>85</v>
      </c>
      <c r="C28" t="s">
        <v>32</v>
      </c>
      <c r="D28" s="3">
        <v>944762.5958677684</v>
      </c>
      <c r="E28" s="3">
        <v>868800</v>
      </c>
      <c r="F28" s="3">
        <f t="shared" si="0"/>
        <v>75962.595867768396</v>
      </c>
      <c r="G28" s="9">
        <f t="shared" si="1"/>
        <v>8.7433927103784947E-2</v>
      </c>
    </row>
    <row r="29" spans="1:7" x14ac:dyDescent="0.25">
      <c r="A29" s="4" t="s">
        <v>36</v>
      </c>
      <c r="B29" t="s">
        <v>85</v>
      </c>
      <c r="C29" t="s">
        <v>32</v>
      </c>
      <c r="D29" s="3">
        <v>228032.89999999997</v>
      </c>
      <c r="E29" s="3">
        <v>252400</v>
      </c>
      <c r="F29" s="3">
        <f t="shared" si="0"/>
        <v>-24367.100000000035</v>
      </c>
      <c r="G29" s="8">
        <f t="shared" si="1"/>
        <v>-9.6541600633914593E-2</v>
      </c>
    </row>
    <row r="30" spans="1:7" x14ac:dyDescent="0.25">
      <c r="A30" s="4" t="s">
        <v>37</v>
      </c>
      <c r="B30" t="s">
        <v>85</v>
      </c>
      <c r="C30" t="s">
        <v>32</v>
      </c>
      <c r="D30" s="3">
        <v>238849.4599999999</v>
      </c>
      <c r="E30" s="3">
        <v>255400</v>
      </c>
      <c r="F30" s="3">
        <f t="shared" si="0"/>
        <v>-16550.540000000095</v>
      </c>
      <c r="G30" s="8">
        <f t="shared" si="1"/>
        <v>-6.480242756460497E-2</v>
      </c>
    </row>
    <row r="31" spans="1:7" x14ac:dyDescent="0.25">
      <c r="A31" s="4" t="s">
        <v>38</v>
      </c>
      <c r="B31" t="s">
        <v>85</v>
      </c>
      <c r="C31" t="s">
        <v>32</v>
      </c>
      <c r="D31" s="3">
        <v>174019.29999999996</v>
      </c>
      <c r="E31" s="3">
        <v>159600</v>
      </c>
      <c r="F31" s="3">
        <f t="shared" si="0"/>
        <v>14419.299999999959</v>
      </c>
      <c r="G31" s="9">
        <f t="shared" si="1"/>
        <v>9.0346491228069814E-2</v>
      </c>
    </row>
    <row r="32" spans="1:7" x14ac:dyDescent="0.25">
      <c r="A32" s="4" t="s">
        <v>39</v>
      </c>
      <c r="B32" t="s">
        <v>86</v>
      </c>
      <c r="C32" t="s">
        <v>32</v>
      </c>
      <c r="D32" s="3">
        <v>1418277.059999998</v>
      </c>
      <c r="E32" s="3">
        <v>1524400</v>
      </c>
      <c r="F32" s="3">
        <f t="shared" si="0"/>
        <v>-106122.94000000204</v>
      </c>
      <c r="G32" s="8">
        <f t="shared" si="1"/>
        <v>-6.9616203096301565E-2</v>
      </c>
    </row>
    <row r="33" spans="1:7" x14ac:dyDescent="0.25">
      <c r="A33" s="4" t="s">
        <v>40</v>
      </c>
      <c r="B33" t="s">
        <v>86</v>
      </c>
      <c r="C33" t="s">
        <v>32</v>
      </c>
      <c r="D33" s="3">
        <v>1612074.1400000013</v>
      </c>
      <c r="E33" s="3">
        <v>1444200</v>
      </c>
      <c r="F33" s="3">
        <f t="shared" si="0"/>
        <v>167874.14000000129</v>
      </c>
      <c r="G33" s="9">
        <f t="shared" si="1"/>
        <v>0.11624022988505844</v>
      </c>
    </row>
    <row r="34" spans="1:7" x14ac:dyDescent="0.25">
      <c r="A34" s="4" t="s">
        <v>41</v>
      </c>
      <c r="B34" t="s">
        <v>87</v>
      </c>
      <c r="C34" t="s">
        <v>32</v>
      </c>
      <c r="D34" s="3">
        <v>1460736.4799999981</v>
      </c>
      <c r="E34" s="3">
        <v>1419000</v>
      </c>
      <c r="F34" s="3">
        <f t="shared" ref="F34:F57" si="2">D34-E34</f>
        <v>41736.479999998119</v>
      </c>
      <c r="G34" s="9">
        <f t="shared" ref="G34:G57" si="3">D34/E34-1</f>
        <v>2.941260042283167E-2</v>
      </c>
    </row>
    <row r="35" spans="1:7" x14ac:dyDescent="0.25">
      <c r="A35" s="4" t="s">
        <v>42</v>
      </c>
      <c r="B35" t="s">
        <v>87</v>
      </c>
      <c r="C35" t="s">
        <v>32</v>
      </c>
      <c r="D35" s="3">
        <v>517636.19999999943</v>
      </c>
      <c r="E35" s="3">
        <v>512000</v>
      </c>
      <c r="F35" s="3">
        <f t="shared" si="2"/>
        <v>5636.1999999994296</v>
      </c>
      <c r="G35" s="9">
        <f t="shared" si="3"/>
        <v>1.100820312499895E-2</v>
      </c>
    </row>
    <row r="36" spans="1:7" x14ac:dyDescent="0.25">
      <c r="A36" s="4" t="s">
        <v>43</v>
      </c>
      <c r="B36" t="s">
        <v>87</v>
      </c>
      <c r="C36" t="s">
        <v>32</v>
      </c>
      <c r="D36" s="3">
        <v>797856.95999999973</v>
      </c>
      <c r="E36" s="3">
        <v>803800</v>
      </c>
      <c r="F36" s="3">
        <f t="shared" si="2"/>
        <v>-5943.0400000002701</v>
      </c>
      <c r="G36" s="8">
        <f t="shared" si="3"/>
        <v>-7.3936800199058128E-3</v>
      </c>
    </row>
    <row r="37" spans="1:7" x14ac:dyDescent="0.25">
      <c r="A37" s="4" t="s">
        <v>44</v>
      </c>
      <c r="B37" t="s">
        <v>88</v>
      </c>
      <c r="C37" t="s">
        <v>32</v>
      </c>
      <c r="D37" s="3">
        <v>1556266.2255462154</v>
      </c>
      <c r="E37" s="3">
        <v>1548200</v>
      </c>
      <c r="F37" s="3">
        <f t="shared" si="2"/>
        <v>8066.225546215428</v>
      </c>
      <c r="G37" s="9">
        <f t="shared" si="3"/>
        <v>5.2100668816790208E-3</v>
      </c>
    </row>
    <row r="38" spans="1:7" x14ac:dyDescent="0.25">
      <c r="A38" s="4" t="s">
        <v>45</v>
      </c>
      <c r="B38" t="s">
        <v>88</v>
      </c>
      <c r="C38" t="s">
        <v>32</v>
      </c>
      <c r="D38" s="3">
        <v>830073.10000000009</v>
      </c>
      <c r="E38" s="3">
        <v>1183600</v>
      </c>
      <c r="F38" s="3">
        <f t="shared" si="2"/>
        <v>-353526.89999999991</v>
      </c>
      <c r="G38" s="8">
        <f t="shared" si="3"/>
        <v>-0.29868781683001011</v>
      </c>
    </row>
    <row r="39" spans="1:7" x14ac:dyDescent="0.25">
      <c r="A39" s="4" t="s">
        <v>46</v>
      </c>
      <c r="B39" t="s">
        <v>88</v>
      </c>
      <c r="C39" t="s">
        <v>32</v>
      </c>
      <c r="D39" s="3">
        <v>296649.87999999995</v>
      </c>
      <c r="E39" s="3">
        <v>318800</v>
      </c>
      <c r="F39" s="3">
        <f t="shared" si="2"/>
        <v>-22150.120000000054</v>
      </c>
      <c r="G39" s="8">
        <f t="shared" si="3"/>
        <v>-6.9479673776662643E-2</v>
      </c>
    </row>
    <row r="40" spans="1:7" x14ac:dyDescent="0.25">
      <c r="A40" s="4" t="s">
        <v>47</v>
      </c>
      <c r="B40" t="s">
        <v>88</v>
      </c>
      <c r="C40" t="s">
        <v>32</v>
      </c>
      <c r="D40" s="3">
        <v>109950.75999999998</v>
      </c>
      <c r="E40" s="3">
        <v>118400</v>
      </c>
      <c r="F40" s="3">
        <f t="shared" si="2"/>
        <v>-8449.2400000000198</v>
      </c>
      <c r="G40" s="8">
        <f t="shared" si="3"/>
        <v>-7.1361824324324474E-2</v>
      </c>
    </row>
    <row r="41" spans="1:7" x14ac:dyDescent="0.25">
      <c r="A41" s="4" t="s">
        <v>48</v>
      </c>
      <c r="B41" t="s">
        <v>89</v>
      </c>
      <c r="C41" t="s">
        <v>32</v>
      </c>
      <c r="D41" s="3">
        <v>3632367.300000004</v>
      </c>
      <c r="E41" s="3">
        <v>3505400</v>
      </c>
      <c r="F41" s="3">
        <f t="shared" si="2"/>
        <v>126967.300000004</v>
      </c>
      <c r="G41" s="9">
        <f t="shared" si="3"/>
        <v>3.622048838934333E-2</v>
      </c>
    </row>
    <row r="42" spans="1:7" x14ac:dyDescent="0.25">
      <c r="A42" s="4" t="s">
        <v>49</v>
      </c>
      <c r="B42" t="s">
        <v>90</v>
      </c>
      <c r="C42" t="s">
        <v>32</v>
      </c>
      <c r="D42" s="3">
        <v>3373688.9561344618</v>
      </c>
      <c r="E42" s="3">
        <v>2991800</v>
      </c>
      <c r="F42" s="3">
        <f t="shared" si="2"/>
        <v>381888.9561344618</v>
      </c>
      <c r="G42" s="9">
        <f t="shared" si="3"/>
        <v>0.12764521563422071</v>
      </c>
    </row>
    <row r="43" spans="1:7" x14ac:dyDescent="0.25">
      <c r="A43" s="4" t="s">
        <v>50</v>
      </c>
      <c r="B43" t="s">
        <v>90</v>
      </c>
      <c r="C43" t="s">
        <v>32</v>
      </c>
      <c r="D43" s="3">
        <v>871317.19999999821</v>
      </c>
      <c r="E43" s="3">
        <v>840000</v>
      </c>
      <c r="F43" s="3">
        <f t="shared" si="2"/>
        <v>31317.199999998207</v>
      </c>
      <c r="G43" s="9">
        <f t="shared" si="3"/>
        <v>3.7282380952378791E-2</v>
      </c>
    </row>
    <row r="44" spans="1:7" x14ac:dyDescent="0.25">
      <c r="A44" s="4" t="s">
        <v>51</v>
      </c>
      <c r="B44" t="s">
        <v>91</v>
      </c>
      <c r="C44" t="s">
        <v>32</v>
      </c>
      <c r="D44" s="3">
        <v>1814043.2599999986</v>
      </c>
      <c r="E44" s="3">
        <v>1627600</v>
      </c>
      <c r="F44" s="3">
        <f t="shared" si="2"/>
        <v>186443.25999999861</v>
      </c>
      <c r="G44" s="9">
        <f t="shared" si="3"/>
        <v>0.11455103219464147</v>
      </c>
    </row>
    <row r="45" spans="1:7" x14ac:dyDescent="0.25">
      <c r="A45" s="4" t="s">
        <v>52</v>
      </c>
      <c r="B45" t="s">
        <v>91</v>
      </c>
      <c r="C45" t="s">
        <v>32</v>
      </c>
      <c r="D45" s="3">
        <v>151091.66000000003</v>
      </c>
      <c r="E45" s="3">
        <v>158600</v>
      </c>
      <c r="F45" s="3">
        <f t="shared" si="2"/>
        <v>-7508.3399999999674</v>
      </c>
      <c r="G45" s="8">
        <f t="shared" si="3"/>
        <v>-4.7341361916771518E-2</v>
      </c>
    </row>
    <row r="46" spans="1:7" x14ac:dyDescent="0.25">
      <c r="A46" s="4" t="s">
        <v>53</v>
      </c>
      <c r="B46" t="s">
        <v>91</v>
      </c>
      <c r="C46" t="s">
        <v>32</v>
      </c>
      <c r="D46" s="3">
        <v>144965.59999999998</v>
      </c>
      <c r="E46" s="3">
        <v>154400</v>
      </c>
      <c r="F46" s="3">
        <f t="shared" si="2"/>
        <v>-9434.4000000000233</v>
      </c>
      <c r="G46" s="8">
        <f t="shared" si="3"/>
        <v>-6.1103626943005307E-2</v>
      </c>
    </row>
    <row r="47" spans="1:7" x14ac:dyDescent="0.25">
      <c r="A47" s="4" t="s">
        <v>54</v>
      </c>
      <c r="B47" t="s">
        <v>92</v>
      </c>
      <c r="C47" t="s">
        <v>32</v>
      </c>
      <c r="D47" s="3">
        <v>1515052.6999999983</v>
      </c>
      <c r="E47" s="3">
        <v>1483600</v>
      </c>
      <c r="F47" s="3">
        <f t="shared" si="2"/>
        <v>31452.699999998324</v>
      </c>
      <c r="G47" s="9">
        <f t="shared" si="3"/>
        <v>2.1200256133727668E-2</v>
      </c>
    </row>
    <row r="48" spans="1:7" x14ac:dyDescent="0.25">
      <c r="A48" s="4" t="s">
        <v>55</v>
      </c>
      <c r="B48" t="s">
        <v>92</v>
      </c>
      <c r="C48" t="s">
        <v>32</v>
      </c>
      <c r="D48" s="3">
        <v>1474776.6999999997</v>
      </c>
      <c r="E48" s="3">
        <v>1337800</v>
      </c>
      <c r="F48" s="3">
        <f t="shared" si="2"/>
        <v>136976.69999999972</v>
      </c>
      <c r="G48" s="9">
        <f t="shared" si="3"/>
        <v>0.10238952010763924</v>
      </c>
    </row>
    <row r="49" spans="1:7" x14ac:dyDescent="0.25">
      <c r="A49" s="4" t="s">
        <v>56</v>
      </c>
      <c r="B49" t="s">
        <v>92</v>
      </c>
      <c r="C49" t="s">
        <v>32</v>
      </c>
      <c r="D49" s="3">
        <v>176848.17999999985</v>
      </c>
      <c r="E49" s="3">
        <v>191200</v>
      </c>
      <c r="F49" s="3">
        <f t="shared" si="2"/>
        <v>-14351.820000000153</v>
      </c>
      <c r="G49" s="8">
        <f t="shared" si="3"/>
        <v>-7.5061820083682784E-2</v>
      </c>
    </row>
    <row r="50" spans="1:7" x14ac:dyDescent="0.25">
      <c r="A50" s="4" t="s">
        <v>57</v>
      </c>
      <c r="B50" t="s">
        <v>92</v>
      </c>
      <c r="C50" t="s">
        <v>32</v>
      </c>
      <c r="D50" s="3">
        <v>187096.78000000006</v>
      </c>
      <c r="E50" s="3">
        <v>180200</v>
      </c>
      <c r="F50" s="3">
        <f t="shared" si="2"/>
        <v>6896.780000000057</v>
      </c>
      <c r="G50" s="9">
        <f t="shared" si="3"/>
        <v>3.8272918978912607E-2</v>
      </c>
    </row>
    <row r="51" spans="1:7" x14ac:dyDescent="0.25">
      <c r="A51" s="4" t="s">
        <v>58</v>
      </c>
      <c r="B51" t="s">
        <v>93</v>
      </c>
      <c r="C51" t="s">
        <v>59</v>
      </c>
      <c r="D51" s="3">
        <v>13419896.459999444</v>
      </c>
      <c r="E51" s="3">
        <v>19138800</v>
      </c>
      <c r="F51" s="3">
        <f t="shared" si="2"/>
        <v>-5718903.540000556</v>
      </c>
      <c r="G51" s="9">
        <f t="shared" si="3"/>
        <v>-0.29881202269737683</v>
      </c>
    </row>
    <row r="52" spans="1:7" x14ac:dyDescent="0.25">
      <c r="A52" s="4" t="s">
        <v>60</v>
      </c>
      <c r="B52" t="s">
        <v>94</v>
      </c>
      <c r="C52" t="s">
        <v>59</v>
      </c>
      <c r="D52" s="3">
        <v>55286.58</v>
      </c>
      <c r="E52" s="3">
        <v>57800</v>
      </c>
      <c r="F52" s="3">
        <f t="shared" si="2"/>
        <v>-2513.4199999999983</v>
      </c>
      <c r="G52" s="8">
        <f t="shared" si="3"/>
        <v>-4.3484775086505167E-2</v>
      </c>
    </row>
    <row r="53" spans="1:7" x14ac:dyDescent="0.25">
      <c r="A53" s="4" t="s">
        <v>61</v>
      </c>
      <c r="B53" t="s">
        <v>94</v>
      </c>
      <c r="C53" t="s">
        <v>59</v>
      </c>
      <c r="D53" s="3">
        <v>468702.24000000005</v>
      </c>
      <c r="E53" s="3">
        <v>3491400</v>
      </c>
      <c r="F53" s="3">
        <f t="shared" si="2"/>
        <v>-3022697.76</v>
      </c>
      <c r="G53" s="8">
        <f t="shared" si="3"/>
        <v>-0.86575521567279601</v>
      </c>
    </row>
    <row r="54" spans="1:7" x14ac:dyDescent="0.25">
      <c r="A54" s="4" t="s">
        <v>62</v>
      </c>
      <c r="B54" t="s">
        <v>63</v>
      </c>
      <c r="C54" t="s">
        <v>59</v>
      </c>
      <c r="D54" s="3">
        <v>5344065.8</v>
      </c>
      <c r="E54" s="3">
        <v>6320600</v>
      </c>
      <c r="F54" s="3">
        <f t="shared" si="2"/>
        <v>-976534.20000000019</v>
      </c>
      <c r="G54" s="8">
        <f t="shared" si="3"/>
        <v>-0.1545002373192419</v>
      </c>
    </row>
    <row r="55" spans="1:7" x14ac:dyDescent="0.25">
      <c r="A55" s="4" t="s">
        <v>64</v>
      </c>
      <c r="B55" t="s">
        <v>67</v>
      </c>
      <c r="C55" t="s">
        <v>59</v>
      </c>
      <c r="D55" s="3">
        <v>400300.43999999994</v>
      </c>
      <c r="E55" s="3">
        <v>419400</v>
      </c>
      <c r="F55" s="3">
        <f t="shared" si="2"/>
        <v>-19099.560000000056</v>
      </c>
      <c r="G55" s="8">
        <f t="shared" si="3"/>
        <v>-4.5540200286123156E-2</v>
      </c>
    </row>
    <row r="56" spans="1:7" x14ac:dyDescent="0.25">
      <c r="A56" s="4" t="s">
        <v>65</v>
      </c>
      <c r="B56" t="s">
        <v>68</v>
      </c>
      <c r="C56" t="s">
        <v>59</v>
      </c>
      <c r="D56" s="3">
        <v>322776.02</v>
      </c>
      <c r="E56" s="3">
        <v>332000</v>
      </c>
      <c r="F56" s="3">
        <f t="shared" si="2"/>
        <v>-9223.9799999999814</v>
      </c>
      <c r="G56" s="8">
        <f t="shared" si="3"/>
        <v>-2.7783072289156552E-2</v>
      </c>
    </row>
    <row r="57" spans="1:7" x14ac:dyDescent="0.25">
      <c r="A57" s="4" t="s">
        <v>66</v>
      </c>
      <c r="B57" t="s">
        <v>69</v>
      </c>
      <c r="C57" t="s">
        <v>59</v>
      </c>
      <c r="D57" s="3">
        <v>305502.83999999997</v>
      </c>
      <c r="E57" s="3">
        <v>234000</v>
      </c>
      <c r="F57" s="3">
        <f t="shared" si="2"/>
        <v>71502.839999999967</v>
      </c>
      <c r="G57" s="9">
        <f t="shared" si="3"/>
        <v>0.30556769230769221</v>
      </c>
    </row>
    <row r="58" spans="1:7" x14ac:dyDescent="0.25">
      <c r="D58" s="5"/>
      <c r="E58" s="5"/>
      <c r="F58" s="6"/>
      <c r="G58" s="7"/>
    </row>
    <row r="59" spans="1:7" x14ac:dyDescent="0.25">
      <c r="D59" s="2"/>
      <c r="E59" s="2"/>
      <c r="F59" s="3"/>
    </row>
    <row r="60" spans="1:7" x14ac:dyDescent="0.25">
      <c r="D60" s="2"/>
      <c r="E60" s="2"/>
      <c r="F60" s="3"/>
    </row>
    <row r="61" spans="1:7" x14ac:dyDescent="0.25">
      <c r="D61" s="2"/>
      <c r="E61" s="2"/>
      <c r="F61" s="3"/>
    </row>
    <row r="62" spans="1:7" x14ac:dyDescent="0.25">
      <c r="D62" s="2"/>
      <c r="E62" s="2"/>
      <c r="F62" s="3"/>
    </row>
    <row r="63" spans="1:7" x14ac:dyDescent="0.25">
      <c r="D63" s="2"/>
      <c r="E63" s="2"/>
      <c r="F63" s="3"/>
    </row>
    <row r="64" spans="1:7" x14ac:dyDescent="0.25">
      <c r="D64" s="2"/>
      <c r="E64" s="2"/>
      <c r="F64" s="3"/>
    </row>
    <row r="65" spans="4:6" x14ac:dyDescent="0.25">
      <c r="D65" s="2"/>
      <c r="E65" s="2"/>
      <c r="F65" s="3"/>
    </row>
    <row r="66" spans="4:6" x14ac:dyDescent="0.25">
      <c r="D66" s="2"/>
      <c r="E66" s="2"/>
    </row>
    <row r="67" spans="4:6" x14ac:dyDescent="0.25">
      <c r="D67" s="2"/>
      <c r="E67" s="2"/>
    </row>
    <row r="68" spans="4:6" x14ac:dyDescent="0.25">
      <c r="D68" s="2"/>
      <c r="E68" s="2"/>
    </row>
    <row r="69" spans="4:6" x14ac:dyDescent="0.25">
      <c r="D69" s="2"/>
      <c r="E69" s="2"/>
    </row>
    <row r="70" spans="4:6" x14ac:dyDescent="0.25">
      <c r="D70" s="2"/>
      <c r="E70" s="2"/>
    </row>
    <row r="71" spans="4:6" x14ac:dyDescent="0.25">
      <c r="D71" s="2"/>
      <c r="E71" s="2"/>
    </row>
    <row r="72" spans="4:6" x14ac:dyDescent="0.25">
      <c r="D72" s="2"/>
      <c r="E72" s="2"/>
    </row>
    <row r="73" spans="4:6" x14ac:dyDescent="0.25">
      <c r="D73" s="2"/>
      <c r="E73" s="2"/>
    </row>
  </sheetData>
  <autoFilter ref="A1:G57" xr:uid="{39BA1F49-EE40-43F8-ACFC-4040E1CFBB1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Madalina Calota</dc:creator>
  <cp:lastModifiedBy>Madalina Calota</cp:lastModifiedBy>
  <dcterms:created xsi:type="dcterms:W3CDTF">2026-10-23T09:54:34Z</dcterms:created>
  <dcterms:modified xsi:type="dcterms:W3CDTF">2026-10-23T13:37:30Z</dcterms:modified>
</cp:coreProperties>
</file>